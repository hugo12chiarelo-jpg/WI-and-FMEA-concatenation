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inglebuoy.sharepoint.com/sites/Reliability/Shared Documents/Maintenance Strategy Programs/8. EMS Upgrade/1. Github Database/COCE/Reporting Question/outputs/"/>
    </mc:Choice>
  </mc:AlternateContent>
  <xr:revisionPtr revIDLastSave="56" documentId="11_997807AD92103149FD7687F2B87520C9E9C7FE13" xr6:coauthVersionLast="47" xr6:coauthVersionMax="47" xr10:uidLastSave="{132C02E7-F09C-420A-86B8-AC6A418ABF57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2" l="1"/>
  <c r="E22" i="2"/>
  <c r="E19" i="2"/>
  <c r="E17" i="2"/>
  <c r="E11" i="2"/>
  <c r="E6" i="2"/>
  <c r="E3" i="2"/>
  <c r="E4" i="2"/>
  <c r="E5" i="2"/>
  <c r="E7" i="2"/>
  <c r="E8" i="2"/>
  <c r="E9" i="2"/>
  <c r="E10" i="2"/>
  <c r="E12" i="2"/>
  <c r="E13" i="2"/>
  <c r="E14" i="2"/>
  <c r="E15" i="2"/>
  <c r="E16" i="2"/>
  <c r="E18" i="2"/>
  <c r="E20" i="2"/>
  <c r="E21" i="2"/>
  <c r="E23" i="2"/>
  <c r="E25" i="2"/>
  <c r="E26" i="2"/>
  <c r="E27" i="2"/>
  <c r="E28" i="2"/>
  <c r="E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tc={3EF62345-D946-431D-88E1-E2521A4CF519}</author>
    <author>tc={D1100629-CA26-49C7-A7CC-F0D41E33590E}</author>
    <author>tc={27A8FBF7-9ECD-45C9-A993-1A047AF76772}</author>
    <author>tc={6D6F0BDD-8259-493B-82CB-F47159B5B938}</author>
    <author>tc={DBFDCADB-0F58-471B-B08D-5429E33FC4B1}</author>
  </authors>
  <commentList>
    <comment ref="G12" authorId="0" shapeId="0" xr:uid="{3EF62345-D946-431D-88E1-E2521A4CF519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Trocar por internal leakage</t>
      </text>
    </comment>
    <comment ref="C15" authorId="1" shapeId="0" xr:uid="{D1100629-CA26-49C7-A7CC-F0D41E33590E}">
      <text>
        <t>[Threaded comment]
Your version of Excel allows you to read this threaded comment; however, any edits to it will get removed if the file is opened in a newer version of Excel. Learn more: https://go.microsoft.com/fwlink/?linkid=870924
Comment:
    Juntar como Dry gas seal</t>
      </text>
    </comment>
    <comment ref="C19" authorId="2" shapeId="0" xr:uid="{27A8FBF7-9ECD-45C9-A993-1A047AF767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Valido somente para onde nao tem monitoramento instrumentado - MANTER!</t>
      </text>
    </comment>
    <comment ref="H32" authorId="3" shapeId="0" xr:uid="{6D6F0BDD-8259-493B-82CB-F47159B5B938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Incorreto</t>
      </text>
    </comment>
    <comment ref="H37" authorId="4" shapeId="0" xr:uid="{DBFDCADB-0F58-471B-B08D-5429E33FC4B1}">
      <text>
        <t>[Threaded comment]
Your version of Excel allows you to read this threaded comment; however, any edits to it will get removed if the file is opened in a newer version of Excel. Learn more: https://go.microsoft.com/fwlink/?linkid=870924
Comment:
    Não faz sentido para o Breakdown</t>
      </text>
    </comment>
  </commentList>
</comments>
</file>

<file path=xl/sharedStrings.xml><?xml version="1.0" encoding="utf-8"?>
<sst xmlns="http://schemas.openxmlformats.org/spreadsheetml/2006/main" count="196" uniqueCount="129">
  <si>
    <t>WTT ID</t>
  </si>
  <si>
    <t>Work instruction task</t>
  </si>
  <si>
    <t>Maintainable Item</t>
  </si>
  <si>
    <t>Reporting Question</t>
  </si>
  <si>
    <t>Failure Modes</t>
  </si>
  <si>
    <t>Failure Mechanism</t>
  </si>
  <si>
    <t>PM00248A</t>
  </si>
  <si>
    <t>2.a.1</t>
  </si>
  <si>
    <t>*General Condition</t>
  </si>
  <si>
    <t>Are there any signs of general condition issues, corrosion debris, dirt, or leaks? [Y/N]</t>
  </si>
  <si>
    <t>STD - Structural deficiency</t>
  </si>
  <si>
    <t>2.2 Corrosion</t>
  </si>
  <si>
    <t>5.2 Contamination</t>
  </si>
  <si>
    <t>1.1 Leakage</t>
  </si>
  <si>
    <t>ELP - External leakage - process medium</t>
  </si>
  <si>
    <t>ELU - External leakage - utility medium</t>
  </si>
  <si>
    <t>2.a.2</t>
  </si>
  <si>
    <t>*Instrumentation</t>
  </si>
  <si>
    <t>Are there any damaged or broken instruments? [Y/N]</t>
  </si>
  <si>
    <t>BRD - Breakdown</t>
  </si>
  <si>
    <t>2.5 Breakage</t>
  </si>
  <si>
    <t>3.3 Faulty signal/indication/alarm</t>
  </si>
  <si>
    <t>AIR - Abnormal instrument reading</t>
  </si>
  <si>
    <t>2.a.3</t>
  </si>
  <si>
    <t>*Drains Baseplates</t>
  </si>
  <si>
    <t>Are the drains baseplates unobstructed? [Y/N]</t>
  </si>
  <si>
    <t>PLU - Plugged/ choked</t>
  </si>
  <si>
    <t>5.1 Blockage/plugged</t>
  </si>
  <si>
    <t>2.b.1</t>
  </si>
  <si>
    <t>*Piping</t>
  </si>
  <si>
    <t>Are there any signs of leaks, loose tubing, damage, corrosion, or excessive dirt on the piping? [Y/N]</t>
  </si>
  <si>
    <t>2.b.2</t>
  </si>
  <si>
    <t>*Valves</t>
  </si>
  <si>
    <t>Are the valves free from corrosion and are the stems in good condition? [Y/N]</t>
  </si>
  <si>
    <t>2.c.1</t>
  </si>
  <si>
    <t>*Lubricating Oil Pump/Motor</t>
  </si>
  <si>
    <t>Is there any unusual or excessive noise, vibration, or temperature from the lubricating oil pump/motor? [Y/N]</t>
  </si>
  <si>
    <t>NOI - Noise</t>
  </si>
  <si>
    <t>2.7 Overheating</t>
  </si>
  <si>
    <t>2.c.2</t>
  </si>
  <si>
    <t>*Oil Accumulator/Rundown Tank</t>
  </si>
  <si>
    <t>Are there any leaks or damages on the oil accumulator/rundown tank? [Y/N]</t>
  </si>
  <si>
    <t>2.c.3</t>
  </si>
  <si>
    <t>*Oil Cooler</t>
  </si>
  <si>
    <t>Are there any external leaks on the oil cooler? [Y/N]</t>
  </si>
  <si>
    <t>2.c.4</t>
  </si>
  <si>
    <t>*Lube Oil Return Sight Glass</t>
  </si>
  <si>
    <t>Is the lube oil return sight glass clean, and is there any oil discoloration or foaming? [Y/N]</t>
  </si>
  <si>
    <t>SBU - Sludge build-up</t>
  </si>
  <si>
    <t>2.c.5</t>
  </si>
  <si>
    <t>*Duplex Strainer Equalizing Valve</t>
  </si>
  <si>
    <t>Is the duplex strainer equalizing valve opened to prevent overpressure? [Y/N]</t>
  </si>
  <si>
    <t>2.c.6</t>
  </si>
  <si>
    <t>*PSV Discharge Sight Glasses</t>
  </si>
  <si>
    <t>Is there any abnormal oil flow indicating the PSV is blocked in the open position? [Y/N]</t>
  </si>
  <si>
    <t>2.c.7</t>
  </si>
  <si>
    <t>*Mineral Oil Vapor Separator</t>
  </si>
  <si>
    <t>Is there any abnormal oil accumulation in the compartments before and after the filter cartridge, including the flame arrestor? [Y/N]</t>
  </si>
  <si>
    <t>2.d.1</t>
  </si>
  <si>
    <t>*Gauges and Indicators</t>
  </si>
  <si>
    <t>Are the gauges and indicators operating correctly? [Y/N]</t>
  </si>
  <si>
    <t>2.d.2</t>
  </si>
  <si>
    <t>*Secondary Seal Drain Lines</t>
  </si>
  <si>
    <t>Is there any condensate or liquid in the secondary seal drain lines? [Y/N]</t>
  </si>
  <si>
    <t>ILU - Internal leakage - utility medium</t>
  </si>
  <si>
    <t>2.d.3</t>
  </si>
  <si>
    <t>*Secondary or Tertiary Seal</t>
  </si>
  <si>
    <t>Is there any liquid in the secondary seal drain line indicating premature failure of the seal? [Y/N]</t>
  </si>
  <si>
    <t>2.e.1</t>
  </si>
  <si>
    <t>*Centrifugal Compressor</t>
  </si>
  <si>
    <t>Is the centrifugal compressor free from leaks, loose tubing, damage, corrosion, or excessive dirt? [Y/N]</t>
  </si>
  <si>
    <t>2.e.2</t>
  </si>
  <si>
    <t>Is the centrifugal compressor free of unusual noise, vibration, or excessive temperature? [Y/N]</t>
  </si>
  <si>
    <t>PDE - Parameter deviation</t>
  </si>
  <si>
    <t>3.4 Out of adjustment</t>
  </si>
  <si>
    <t>3.a.1</t>
  </si>
  <si>
    <t>*Lubricating Oil Filter</t>
  </si>
  <si>
    <t>Is the lubricating oil filter differential pressure recorded? [Y/N]</t>
  </si>
  <si>
    <t>Was the filter changed over and cartridge replaced if necessary? [Y/N]</t>
  </si>
  <si>
    <t>Is the clean strainer differential pressure recorded after filter change over? [Y/N]</t>
  </si>
  <si>
    <t>3.a.4</t>
  </si>
  <si>
    <t>*Lubricating Oil Cooler</t>
  </si>
  <si>
    <t>Is the lubricating oil temperature at cooler inlet and outlet recorded? [Y/N]</t>
  </si>
  <si>
    <t>IHT - Insufficient heat transfer</t>
  </si>
  <si>
    <t>*Lubricating Oil Tank</t>
  </si>
  <si>
    <t>LOO - Low output</t>
  </si>
  <si>
    <t>3.a.7</t>
  </si>
  <si>
    <t>Was the lubricant topped up and the quantity, type, and date recorded? [Y/N]</t>
  </si>
  <si>
    <t>3.a.8</t>
  </si>
  <si>
    <t>Is the oil tank pressure recorded? [Y/N]</t>
  </si>
  <si>
    <t>3.b.1</t>
  </si>
  <si>
    <t>*Sealing System</t>
  </si>
  <si>
    <t>Are the seal gas parameters at primary vent recorded? [Y/N]</t>
  </si>
  <si>
    <t>3.b.2</t>
  </si>
  <si>
    <t>Are the seal gas pressure and temperature at Dry Gas Seal inlet recorded? [Y/N]</t>
  </si>
  <si>
    <t>3.b.3</t>
  </si>
  <si>
    <t>Is the primary seal gas/buffer gas/inert gas filter differential pressure recorded? [Y/N]</t>
  </si>
  <si>
    <t>3.b.4</t>
  </si>
  <si>
    <t>3.b.5</t>
  </si>
  <si>
    <t>3.b.6</t>
  </si>
  <si>
    <t>Are the inert gas/buffer gas parameters recorded? [Y/N]</t>
  </si>
  <si>
    <t>#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</si>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</sst>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iarelo, Hugo" id="{C291DDEC-4164-48DD-BD0C-1DA3F8C4E106}" userId="S::hugo.chiarelo@sbmoffshore.com::9b272b89-6e2d-4bba-a525-ff51ba862aa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2" dT="2026-03-17T19:38:50.56" personId="{C291DDEC-4164-48DD-BD0C-1DA3F8C4E106}" id="{3EF62345-D946-431D-88E1-E2521A4CF519}">
    <text>Trocar por internal leakage</text>
  </threadedComment>
  <threadedComment ref="C15" dT="2026-03-17T19:43:37.09" personId="{C291DDEC-4164-48DD-BD0C-1DA3F8C4E106}" id="{D1100629-CA26-49C7-A7CC-F0D41E33590E}">
    <text>Juntar como Dry gas seal</text>
  </threadedComment>
  <threadedComment ref="C19" dT="2026-03-17T19:50:32.03" personId="{C291DDEC-4164-48DD-BD0C-1DA3F8C4E106}" id="{27A8FBF7-9ECD-45C9-A993-1A047AF76772}">
    <text>Valido somente para onde nao tem monitoramento instrumentado - MANTER!</text>
  </threadedComment>
  <threadedComment ref="H32" dT="2026-03-17T19:08:47.85" personId="{C291DDEC-4164-48DD-BD0C-1DA3F8C4E106}" id="{6D6F0BDD-8259-493B-82CB-F47159B5B938}">
    <text>Incorreto</text>
  </threadedComment>
  <threadedComment ref="H37" dT="2026-03-17T19:11:38.13" personId="{C291DDEC-4164-48DD-BD0C-1DA3F8C4E106}" id="{DBFDCADB-0F58-471B-B08D-5429E33FC4B1}">
    <text>Não faz sentido para o Breakdown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59AE-B835-4E9D-927A-98A35FB7E310}">
  <dimension ref="A1:H37"/>
  <sheetViews>
    <sheetView tabSelected="1" zoomScale="85" zoomScaleNormal="85" workbookViewId="0">
      <selection activeCell="F21" sqref="F21"/>
    </sheetView>
  </sheetViews>
  <sheetFormatPr defaultRowHeight="15" x14ac:dyDescent="0.25"/>
  <cols>
    <col min="1" max="1" width="9.7109375" bestFit="1" customWidth="1"/>
    <col min="2" max="2" width="19.140625" bestFit="1" customWidth="1"/>
    <col min="3" max="3" width="29.85546875" bestFit="1" customWidth="1"/>
    <col min="4" max="4" width="5.85546875" customWidth="1"/>
    <col min="5" max="5" width="29.85546875" customWidth="1"/>
    <col min="6" max="6" width="115.42578125" bestFit="1" customWidth="1"/>
    <col min="7" max="7" width="35.42578125" bestFit="1" customWidth="1"/>
    <col min="8" max="8" width="2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101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t="s">
        <v>7</v>
      </c>
      <c r="C2" t="s">
        <v>8</v>
      </c>
      <c r="D2" t="s">
        <v>102</v>
      </c>
      <c r="E2" t="str">
        <f>A2&amp;"-"&amp;D2</f>
        <v>PM00248A-Q1</v>
      </c>
      <c r="F2" t="s">
        <v>9</v>
      </c>
      <c r="G2" t="s">
        <v>10</v>
      </c>
      <c r="H2" t="s">
        <v>11</v>
      </c>
    </row>
    <row r="3" spans="1:8" x14ac:dyDescent="0.25">
      <c r="A3" t="s">
        <v>6</v>
      </c>
      <c r="B3" t="s">
        <v>16</v>
      </c>
      <c r="C3" t="s">
        <v>17</v>
      </c>
      <c r="D3" t="s">
        <v>103</v>
      </c>
      <c r="E3" t="str">
        <f t="shared" ref="E3:E28" si="0">A3&amp;"-"&amp;D3</f>
        <v>PM00248A-Q2</v>
      </c>
      <c r="F3" t="s">
        <v>18</v>
      </c>
      <c r="G3" t="s">
        <v>19</v>
      </c>
      <c r="H3" t="s">
        <v>20</v>
      </c>
    </row>
    <row r="4" spans="1:8" x14ac:dyDescent="0.25">
      <c r="A4" t="s">
        <v>6</v>
      </c>
      <c r="B4" t="s">
        <v>23</v>
      </c>
      <c r="C4" t="s">
        <v>24</v>
      </c>
      <c r="D4" t="s">
        <v>104</v>
      </c>
      <c r="E4" t="str">
        <f t="shared" si="0"/>
        <v>PM00248A-Q3</v>
      </c>
      <c r="F4" t="s">
        <v>25</v>
      </c>
      <c r="G4" t="s">
        <v>26</v>
      </c>
      <c r="H4" t="s">
        <v>27</v>
      </c>
    </row>
    <row r="5" spans="1:8" x14ac:dyDescent="0.25">
      <c r="A5" t="s">
        <v>6</v>
      </c>
      <c r="B5" t="s">
        <v>28</v>
      </c>
      <c r="C5" t="s">
        <v>29</v>
      </c>
      <c r="D5" t="s">
        <v>105</v>
      </c>
      <c r="E5" t="str">
        <f t="shared" si="0"/>
        <v>PM00248A-Q4</v>
      </c>
      <c r="F5" t="s">
        <v>30</v>
      </c>
      <c r="G5" t="s">
        <v>14</v>
      </c>
      <c r="H5" t="s">
        <v>11</v>
      </c>
    </row>
    <row r="6" spans="1:8" x14ac:dyDescent="0.25">
      <c r="A6" t="s">
        <v>6</v>
      </c>
      <c r="B6" t="s">
        <v>31</v>
      </c>
      <c r="C6" t="s">
        <v>32</v>
      </c>
      <c r="D6" t="s">
        <v>106</v>
      </c>
      <c r="E6" t="str">
        <f>A6&amp;"-"&amp;D6</f>
        <v>PM00248A-Q5</v>
      </c>
      <c r="F6" t="s">
        <v>33</v>
      </c>
      <c r="G6" t="s">
        <v>10</v>
      </c>
      <c r="H6" t="s">
        <v>11</v>
      </c>
    </row>
    <row r="7" spans="1:8" x14ac:dyDescent="0.25">
      <c r="A7" t="s">
        <v>6</v>
      </c>
      <c r="B7" t="s">
        <v>34</v>
      </c>
      <c r="C7" t="s">
        <v>35</v>
      </c>
      <c r="D7" t="s">
        <v>107</v>
      </c>
      <c r="E7" t="str">
        <f t="shared" si="0"/>
        <v>PM00248A-Q6</v>
      </c>
      <c r="F7" t="s">
        <v>36</v>
      </c>
      <c r="G7" t="s">
        <v>37</v>
      </c>
      <c r="H7" t="s">
        <v>38</v>
      </c>
    </row>
    <row r="8" spans="1:8" x14ac:dyDescent="0.25">
      <c r="A8" t="s">
        <v>6</v>
      </c>
      <c r="B8" t="s">
        <v>39</v>
      </c>
      <c r="C8" t="s">
        <v>40</v>
      </c>
      <c r="D8" t="s">
        <v>108</v>
      </c>
      <c r="E8" t="str">
        <f t="shared" si="0"/>
        <v>PM00248A-Q7</v>
      </c>
      <c r="F8" t="s">
        <v>41</v>
      </c>
      <c r="G8" t="s">
        <v>15</v>
      </c>
      <c r="H8" t="s">
        <v>13</v>
      </c>
    </row>
    <row r="9" spans="1:8" x14ac:dyDescent="0.25">
      <c r="A9" t="s">
        <v>6</v>
      </c>
      <c r="B9" t="s">
        <v>42</v>
      </c>
      <c r="C9" t="s">
        <v>43</v>
      </c>
      <c r="D9" t="s">
        <v>109</v>
      </c>
      <c r="E9" t="str">
        <f t="shared" si="0"/>
        <v>PM00248A-Q8</v>
      </c>
      <c r="F9" t="s">
        <v>44</v>
      </c>
      <c r="G9" t="s">
        <v>15</v>
      </c>
      <c r="H9" t="s">
        <v>13</v>
      </c>
    </row>
    <row r="10" spans="1:8" x14ac:dyDescent="0.25">
      <c r="A10" t="s">
        <v>6</v>
      </c>
      <c r="B10" t="s">
        <v>45</v>
      </c>
      <c r="C10" t="s">
        <v>46</v>
      </c>
      <c r="D10" t="s">
        <v>110</v>
      </c>
      <c r="E10" t="str">
        <f t="shared" si="0"/>
        <v>PM00248A-Q9</v>
      </c>
      <c r="F10" t="s">
        <v>47</v>
      </c>
      <c r="G10" t="s">
        <v>48</v>
      </c>
      <c r="H10" t="s">
        <v>12</v>
      </c>
    </row>
    <row r="11" spans="1:8" x14ac:dyDescent="0.25">
      <c r="A11" t="s">
        <v>6</v>
      </c>
      <c r="B11" t="s">
        <v>49</v>
      </c>
      <c r="C11" t="s">
        <v>50</v>
      </c>
      <c r="D11" t="s">
        <v>111</v>
      </c>
      <c r="E11" t="str">
        <f>A11&amp;"-"&amp;D11</f>
        <v>PM00248A-Q10</v>
      </c>
      <c r="F11" t="s">
        <v>51</v>
      </c>
      <c r="G11" t="s">
        <v>15</v>
      </c>
      <c r="H11" t="s">
        <v>13</v>
      </c>
    </row>
    <row r="12" spans="1:8" x14ac:dyDescent="0.25">
      <c r="A12" t="s">
        <v>6</v>
      </c>
      <c r="B12" t="s">
        <v>52</v>
      </c>
      <c r="C12" t="s">
        <v>53</v>
      </c>
      <c r="D12" t="s">
        <v>112</v>
      </c>
      <c r="E12" t="str">
        <f t="shared" si="0"/>
        <v>PM00248A-Q11</v>
      </c>
      <c r="F12" t="s">
        <v>54</v>
      </c>
      <c r="G12" s="1" t="s">
        <v>26</v>
      </c>
      <c r="H12" t="s">
        <v>27</v>
      </c>
    </row>
    <row r="13" spans="1:8" x14ac:dyDescent="0.25">
      <c r="A13" t="s">
        <v>6</v>
      </c>
      <c r="B13" t="s">
        <v>55</v>
      </c>
      <c r="C13" t="s">
        <v>56</v>
      </c>
      <c r="D13" t="s">
        <v>113</v>
      </c>
      <c r="E13" t="str">
        <f t="shared" si="0"/>
        <v>PM00248A-Q12</v>
      </c>
      <c r="F13" t="s">
        <v>57</v>
      </c>
      <c r="G13" t="s">
        <v>48</v>
      </c>
      <c r="H13" t="s">
        <v>12</v>
      </c>
    </row>
    <row r="14" spans="1:8" x14ac:dyDescent="0.25">
      <c r="A14" t="s">
        <v>6</v>
      </c>
      <c r="B14" t="s">
        <v>58</v>
      </c>
      <c r="C14" t="s">
        <v>59</v>
      </c>
      <c r="D14" t="s">
        <v>114</v>
      </c>
      <c r="E14" t="str">
        <f t="shared" si="0"/>
        <v>PM00248A-Q13</v>
      </c>
      <c r="F14" t="s">
        <v>60</v>
      </c>
      <c r="G14" t="s">
        <v>22</v>
      </c>
      <c r="H14" t="s">
        <v>21</v>
      </c>
    </row>
    <row r="15" spans="1:8" x14ac:dyDescent="0.25">
      <c r="A15" t="s">
        <v>6</v>
      </c>
      <c r="B15" t="s">
        <v>61</v>
      </c>
      <c r="C15" s="2" t="s">
        <v>62</v>
      </c>
      <c r="D15" t="s">
        <v>115</v>
      </c>
      <c r="E15" t="str">
        <f t="shared" si="0"/>
        <v>PM00248A-Q14</v>
      </c>
      <c r="F15" t="s">
        <v>63</v>
      </c>
      <c r="G15" t="s">
        <v>64</v>
      </c>
      <c r="H15" t="s">
        <v>13</v>
      </c>
    </row>
    <row r="16" spans="1:8" x14ac:dyDescent="0.25">
      <c r="A16" t="s">
        <v>6</v>
      </c>
      <c r="B16" t="s">
        <v>65</v>
      </c>
      <c r="C16" s="1" t="s">
        <v>66</v>
      </c>
      <c r="D16" t="s">
        <v>116</v>
      </c>
      <c r="E16" t="str">
        <f t="shared" si="0"/>
        <v>PM00248A-Q15</v>
      </c>
      <c r="F16" t="s">
        <v>67</v>
      </c>
      <c r="G16" t="s">
        <v>64</v>
      </c>
      <c r="H16" t="s">
        <v>13</v>
      </c>
    </row>
    <row r="17" spans="1:8" x14ac:dyDescent="0.25">
      <c r="A17" t="s">
        <v>6</v>
      </c>
      <c r="B17" t="s">
        <v>68</v>
      </c>
      <c r="C17" t="s">
        <v>69</v>
      </c>
      <c r="D17" t="s">
        <v>117</v>
      </c>
      <c r="E17" t="str">
        <f t="shared" si="0"/>
        <v>PM00248A-Q16</v>
      </c>
      <c r="F17" t="s">
        <v>70</v>
      </c>
      <c r="G17" t="s">
        <v>14</v>
      </c>
      <c r="H17" t="s">
        <v>11</v>
      </c>
    </row>
    <row r="18" spans="1:8" x14ac:dyDescent="0.25">
      <c r="A18" t="s">
        <v>6</v>
      </c>
      <c r="B18" t="s">
        <v>71</v>
      </c>
      <c r="C18" t="s">
        <v>69</v>
      </c>
      <c r="D18" t="s">
        <v>118</v>
      </c>
      <c r="E18" t="str">
        <f t="shared" si="0"/>
        <v>PM00248A-Q17</v>
      </c>
      <c r="F18" t="s">
        <v>72</v>
      </c>
      <c r="G18" t="s">
        <v>37</v>
      </c>
      <c r="H18" s="3" t="s">
        <v>38</v>
      </c>
    </row>
    <row r="19" spans="1:8" x14ac:dyDescent="0.25">
      <c r="A19" t="s">
        <v>6</v>
      </c>
      <c r="B19" t="s">
        <v>75</v>
      </c>
      <c r="C19" s="4" t="s">
        <v>76</v>
      </c>
      <c r="D19" t="s">
        <v>119</v>
      </c>
      <c r="E19" t="str">
        <f>A19&amp;"-"&amp;D19</f>
        <v>PM00248A-Q18</v>
      </c>
      <c r="F19" s="4" t="s">
        <v>77</v>
      </c>
      <c r="G19" t="s">
        <v>26</v>
      </c>
      <c r="H19" t="s">
        <v>27</v>
      </c>
    </row>
    <row r="20" spans="1:8" x14ac:dyDescent="0.25">
      <c r="A20" t="s">
        <v>6</v>
      </c>
      <c r="B20" t="s">
        <v>80</v>
      </c>
      <c r="C20" s="4" t="s">
        <v>81</v>
      </c>
      <c r="D20" t="s">
        <v>120</v>
      </c>
      <c r="E20" t="str">
        <f t="shared" si="0"/>
        <v>PM00248A-Q19</v>
      </c>
      <c r="F20" s="4" t="s">
        <v>82</v>
      </c>
      <c r="G20" t="s">
        <v>83</v>
      </c>
      <c r="H20" t="s">
        <v>38</v>
      </c>
    </row>
    <row r="21" spans="1:8" x14ac:dyDescent="0.25">
      <c r="A21" t="s">
        <v>6</v>
      </c>
      <c r="B21" t="s">
        <v>86</v>
      </c>
      <c r="C21" s="4" t="s">
        <v>84</v>
      </c>
      <c r="D21" t="s">
        <v>121</v>
      </c>
      <c r="E21" t="str">
        <f t="shared" si="0"/>
        <v>PM00248A-Q20</v>
      </c>
      <c r="F21" s="4" t="s">
        <v>87</v>
      </c>
      <c r="G21" t="s">
        <v>85</v>
      </c>
      <c r="H21" t="s">
        <v>12</v>
      </c>
    </row>
    <row r="22" spans="1:8" x14ac:dyDescent="0.25">
      <c r="A22" t="s">
        <v>6</v>
      </c>
      <c r="B22" t="s">
        <v>88</v>
      </c>
      <c r="C22" s="4" t="s">
        <v>84</v>
      </c>
      <c r="D22" t="s">
        <v>122</v>
      </c>
      <c r="E22" t="str">
        <f>A22&amp;"-"&amp;D22</f>
        <v>PM00248A-Q21</v>
      </c>
      <c r="F22" s="4" t="s">
        <v>89</v>
      </c>
      <c r="G22" t="s">
        <v>73</v>
      </c>
      <c r="H22" t="s">
        <v>74</v>
      </c>
    </row>
    <row r="23" spans="1:8" x14ac:dyDescent="0.25">
      <c r="A23" t="s">
        <v>6</v>
      </c>
      <c r="B23" t="s">
        <v>90</v>
      </c>
      <c r="C23" t="s">
        <v>91</v>
      </c>
      <c r="D23" t="s">
        <v>123</v>
      </c>
      <c r="E23" t="str">
        <f t="shared" si="0"/>
        <v>PM00248A-Q22</v>
      </c>
      <c r="F23" t="s">
        <v>92</v>
      </c>
      <c r="G23" t="s">
        <v>73</v>
      </c>
      <c r="H23" t="s">
        <v>74</v>
      </c>
    </row>
    <row r="24" spans="1:8" x14ac:dyDescent="0.25">
      <c r="A24" t="s">
        <v>6</v>
      </c>
      <c r="B24" t="s">
        <v>93</v>
      </c>
      <c r="C24" t="s">
        <v>91</v>
      </c>
      <c r="D24" t="s">
        <v>124</v>
      </c>
      <c r="E24" t="str">
        <f>A24&amp;"-"&amp;D24</f>
        <v>PM00248A-Q23</v>
      </c>
      <c r="F24" t="s">
        <v>94</v>
      </c>
      <c r="G24" t="s">
        <v>73</v>
      </c>
      <c r="H24" t="s">
        <v>74</v>
      </c>
    </row>
    <row r="25" spans="1:8" x14ac:dyDescent="0.25">
      <c r="A25" t="s">
        <v>6</v>
      </c>
      <c r="B25" t="s">
        <v>95</v>
      </c>
      <c r="C25" t="s">
        <v>91</v>
      </c>
      <c r="D25" t="s">
        <v>125</v>
      </c>
      <c r="E25" t="str">
        <f t="shared" si="0"/>
        <v>PM00248A-Q24</v>
      </c>
      <c r="F25" t="s">
        <v>96</v>
      </c>
      <c r="G25" t="s">
        <v>26</v>
      </c>
      <c r="H25" t="s">
        <v>27</v>
      </c>
    </row>
    <row r="26" spans="1:8" x14ac:dyDescent="0.25">
      <c r="A26" t="s">
        <v>6</v>
      </c>
      <c r="B26" t="s">
        <v>97</v>
      </c>
      <c r="C26" t="s">
        <v>91</v>
      </c>
      <c r="D26" t="s">
        <v>126</v>
      </c>
      <c r="E26" t="str">
        <f t="shared" si="0"/>
        <v>PM00248A-Q25</v>
      </c>
      <c r="F26" t="s">
        <v>78</v>
      </c>
      <c r="G26" t="s">
        <v>26</v>
      </c>
      <c r="H26" t="s">
        <v>27</v>
      </c>
    </row>
    <row r="27" spans="1:8" x14ac:dyDescent="0.25">
      <c r="A27" t="s">
        <v>6</v>
      </c>
      <c r="B27" t="s">
        <v>98</v>
      </c>
      <c r="C27" t="s">
        <v>91</v>
      </c>
      <c r="D27" t="s">
        <v>127</v>
      </c>
      <c r="E27" t="str">
        <f t="shared" si="0"/>
        <v>PM00248A-Q26</v>
      </c>
      <c r="F27" t="s">
        <v>79</v>
      </c>
      <c r="G27" t="s">
        <v>26</v>
      </c>
      <c r="H27" t="s">
        <v>27</v>
      </c>
    </row>
    <row r="28" spans="1:8" x14ac:dyDescent="0.25">
      <c r="A28" t="s">
        <v>6</v>
      </c>
      <c r="B28" t="s">
        <v>99</v>
      </c>
      <c r="C28" t="s">
        <v>91</v>
      </c>
      <c r="D28" t="s">
        <v>128</v>
      </c>
      <c r="E28" t="str">
        <f t="shared" si="0"/>
        <v>PM00248A-Q27</v>
      </c>
      <c r="F28" t="s">
        <v>100</v>
      </c>
      <c r="G28" t="s">
        <v>73</v>
      </c>
      <c r="H28" t="s">
        <v>74</v>
      </c>
    </row>
    <row r="32" spans="1:8" x14ac:dyDescent="0.25"/>
    <row r="37" spans="8:8" x14ac:dyDescent="0.25"/>
  </sheetData>
  <phoneticPr fontId="3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76E8CCC7D10D4BA5F9BA93E0620601" ma:contentTypeVersion="16" ma:contentTypeDescription="Create a new document." ma:contentTypeScope="" ma:versionID="9d056cdb99d4e669c88e4dad1e1b0930">
  <xsd:schema xmlns:xsd="http://www.w3.org/2001/XMLSchema" xmlns:xs="http://www.w3.org/2001/XMLSchema" xmlns:p="http://schemas.microsoft.com/office/2006/metadata/properties" xmlns:ns2="b457e03d-7e9f-4c29-85bc-2be6afd5ceff" xmlns:ns3="d662e225-4761-4bb3-88ec-9c6930b0de72" targetNamespace="http://schemas.microsoft.com/office/2006/metadata/properties" ma:root="true" ma:fieldsID="49174e7e738371327d673b6b7e622ee6" ns2:_="" ns3:_="">
    <xsd:import namespace="b457e03d-7e9f-4c29-85bc-2be6afd5ceff"/>
    <xsd:import namespace="d662e225-4761-4bb3-88ec-9c6930b0de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7e03d-7e9f-4c29-85bc-2be6afd5ce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61a7caf-3f3e-4730-ba1b-b9f44c3f09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62e225-4761-4bb3-88ec-9c6930b0de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5dfca10-58e1-461e-9ca6-4ebda73cb042}" ma:internalName="TaxCatchAll" ma:showField="CatchAllData" ma:web="d662e225-4761-4bb3-88ec-9c6930b0de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62e225-4761-4bb3-88ec-9c6930b0de72" xsi:nil="true"/>
    <lcf76f155ced4ddcb4097134ff3c332f xmlns="b457e03d-7e9f-4c29-85bc-2be6afd5cef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CEAE8E-9696-4C2B-805F-3B471FE53C92}"/>
</file>

<file path=customXml/itemProps2.xml><?xml version="1.0" encoding="utf-8"?>
<ds:datastoreItem xmlns:ds="http://schemas.openxmlformats.org/officeDocument/2006/customXml" ds:itemID="{199232CF-127D-479D-A0F1-A4CA595F89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8A0BB8-EB4A-48E0-8E5A-CA841759E518}">
  <ds:schemaRefs>
    <ds:schemaRef ds:uri="http://schemas.microsoft.com/office/2006/metadata/properties"/>
    <ds:schemaRef ds:uri="http://schemas.microsoft.com/office/infopath/2007/PartnerControls"/>
    <ds:schemaRef ds:uri="d662e225-4761-4bb3-88ec-9c6930b0de72"/>
    <ds:schemaRef ds:uri="b457e03d-7e9f-4c29-85bc-2be6afd5ce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Chiarelo, Hugo</cp:lastModifiedBy>
  <dcterms:created xsi:type="dcterms:W3CDTF">2026-03-12T11:49:20Z</dcterms:created>
  <dcterms:modified xsi:type="dcterms:W3CDTF">2026-04-07T13:34:02Z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0x010100D576E8CCC7D10D4BA5F9BA93E0620601</vt:lpwstr>
  </property>
  <property fmtid="{D5CDD505-2E9C-101B-9397-08002B2CF9AE}" pid="3" name="MediaServiceImageTags">
    <vt:lpwstr/>
  </property>
</Properties>
</file>